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5530" windowHeight="7640" firstSheet="1" activeTab="3"/>
  </bookViews>
  <sheets>
    <sheet name="Region Pivot Table" sheetId="3" r:id="rId1"/>
    <sheet name="Product Pivot Table" sheetId="4" r:id="rId2"/>
    <sheet name="Date Pivot Table" sheetId="5" r:id="rId3"/>
    <sheet name="Customer Pivot Table" sheetId="6" r:id="rId4"/>
    <sheet name="Sales_Data" sheetId="1" r:id="rId5"/>
    <sheet name="Summary" sheetId="2" r:id="rId6"/>
  </sheets>
  <calcPr calcId="162913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B7" i="2"/>
  <c r="G3" i="1"/>
  <c r="G8" i="1"/>
  <c r="H8" i="1" s="1"/>
  <c r="G7" i="1"/>
  <c r="H7" i="1" s="1"/>
  <c r="G9" i="1"/>
  <c r="G5" i="1"/>
  <c r="H5" i="1" s="1"/>
  <c r="G11" i="1"/>
  <c r="H11" i="1" s="1"/>
  <c r="G2" i="1"/>
  <c r="H2" i="1" s="1"/>
  <c r="G10" i="1"/>
  <c r="H10" i="1" s="1"/>
  <c r="G6" i="1"/>
  <c r="H6" i="1" s="1"/>
  <c r="G4" i="1"/>
  <c r="H4" i="1" s="1"/>
  <c r="B5" i="2" l="1"/>
  <c r="B4" i="2"/>
  <c r="H9" i="1"/>
  <c r="B6" i="2"/>
  <c r="H3" i="1"/>
  <c r="B3" i="2"/>
  <c r="B2" i="2"/>
</calcChain>
</file>

<file path=xl/sharedStrings.xml><?xml version="1.0" encoding="utf-8"?>
<sst xmlns="http://schemas.openxmlformats.org/spreadsheetml/2006/main" count="76" uniqueCount="33">
  <si>
    <t>Date</t>
  </si>
  <si>
    <t>Customer</t>
  </si>
  <si>
    <t>Region</t>
  </si>
  <si>
    <t>Product</t>
  </si>
  <si>
    <t>Quantity</t>
  </si>
  <si>
    <t>Unit Price</t>
  </si>
  <si>
    <t>John</t>
  </si>
  <si>
    <t>Nairobi</t>
  </si>
  <si>
    <t>Laptop</t>
  </si>
  <si>
    <t>Mary</t>
  </si>
  <si>
    <t>Mombasa</t>
  </si>
  <si>
    <t>Phone</t>
  </si>
  <si>
    <t>Peter</t>
  </si>
  <si>
    <t>Tablet</t>
  </si>
  <si>
    <t>Jane</t>
  </si>
  <si>
    <t>Kisumu</t>
  </si>
  <si>
    <t>David</t>
  </si>
  <si>
    <t>15/01/2026</t>
  </si>
  <si>
    <t>20/01/2026</t>
  </si>
  <si>
    <t>25/01/2026</t>
  </si>
  <si>
    <t>Total Sales</t>
  </si>
  <si>
    <t>Metric</t>
  </si>
  <si>
    <t>Result</t>
  </si>
  <si>
    <t>Average Sale</t>
  </si>
  <si>
    <t>Highest Sale</t>
  </si>
  <si>
    <t>Lowest Sale</t>
  </si>
  <si>
    <t>Number of Transactions</t>
  </si>
  <si>
    <t>Sales Category</t>
  </si>
  <si>
    <t>Row Labels</t>
  </si>
  <si>
    <t>Grand Total</t>
  </si>
  <si>
    <t>Sum of Total Sales</t>
  </si>
  <si>
    <t>highest individual transaction</t>
  </si>
  <si>
    <t>Percentage of High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</si>
</sst>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10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[Sales_Analysis_Practice.xlsx]Product Pivot Table!PivotTable2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Pivot Table'!$A$2:$A$5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'Product Pivot Table'!$B$2:$B$5</c:f>
              <c:numCache>
                <c:formatCode>General</c:formatCode>
                <c:ptCount val="3"/>
                <c:pt idx="0">
                  <c:v>640000</c:v>
                </c:pt>
                <c:pt idx="1">
                  <c:v>300000</c:v>
                </c:pt>
                <c:pt idx="2">
                  <c:v>275000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9-40F3-892E-9FC495AFD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226175"/>
        <c:axId val="1427226591"/>
      </c:barChart>
      <c:catAx>
        <c:axId val="142722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26591"/>
        <c:crosses val="autoZero"/>
        <c:auto val="1"/>
        <c:lblAlgn val="ctr"/>
        <c:lblOffset val="100"/>
        <c:noMultiLvlLbl val="0"/>
      </c:catAx>
      <c:valAx>
        <c:axId val="142722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2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[Sales_Analysis_Practice.xlsx]Date Pivot Table!PivotTable3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'Date 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'Date Pivot Table'!$A$3:$A$13</c:f>
              <c:strCache>
                <c:ptCount val="10"/>
                <c:pt idx="0">
                  <c:v>15/01/2026</c:v>
                </c:pt>
                <c:pt idx="1">
                  <c:v>20/01/2026</c:v>
                </c:pt>
                <c:pt idx="2">
                  <c:v>25/01/2026</c:v>
                </c:pt>
                <c:pt idx="3">
                  <c:v>1/1/2026</c:v>
                </c:pt>
                <c:pt idx="4">
                  <c:v>1/2/2026</c:v>
                </c:pt>
                <c:pt idx="5">
                  <c:v>3/1/2026</c:v>
                </c:pt>
                <c:pt idx="6">
                  <c:v>5/1/2026</c:v>
                </c:pt>
                <c:pt idx="7">
                  <c:v>5/2/2026</c:v>
                </c:pt>
                <c:pt idx="8">
                  <c:v>8/1/2026</c:v>
                </c:pt>
                <c:pt idx="9">
                  <c:v>10/1/2026</c:v>
                </c:pt>
              </c:strCache>
            </c:strRef>
          </c:cat>
          <c:val>
            <c:numRef>
              <c:f>'Date Pivot Table'!$B$3:$B$13</c:f>
              <c:numCache>
                <c:formatCode>General</c:formatCode>
                <c:ptCount val="10"/>
                <c:pt idx="0">
                  <c:v>50000</c:v>
                </c:pt>
                <c:pt idx="1">
                  <c:v>240000</c:v>
                </c:pt>
                <c:pt idx="2">
                  <c:v>60000</c:v>
                </c:pt>
                <c:pt idx="3">
                  <c:v>160000</c:v>
                </c:pt>
                <c:pt idx="4">
                  <c:v>125000</c:v>
                </c:pt>
                <c:pt idx="5">
                  <c:v>90000</c:v>
                </c:pt>
                <c:pt idx="6">
                  <c:v>100000</c:v>
                </c:pt>
                <c:pt idx="7">
                  <c:v>160000</c:v>
                </c:pt>
                <c:pt idx="8">
                  <c:v>80000</c:v>
                </c:pt>
                <c:pt idx="9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3-4A7B-B4B2-98B48EC33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186191"/>
        <c:axId val="1357189519"/>
      </c:lineChart>
      <c:catAx>
        <c:axId val="13571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89519"/>
        <c:crosses val="autoZero"/>
        <c:auto val="1"/>
        <c:lblAlgn val="ctr"/>
        <c:lblOffset val="100"/>
        <c:noMultiLvlLbl val="0"/>
      </c:catAx>
      <c:valAx>
        <c:axId val="135718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8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5</xdr:row>
      <xdr:rowOff>12700</xdr:rowOff>
    </xdr:from>
    <xdr:to>
      <xdr:col>9</xdr:col>
      <xdr:colOff>546100</xdr:colOff>
      <xdr:row>19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4</xdr:row>
      <xdr:rowOff>57150</xdr:rowOff>
    </xdr:from>
    <xdr:to>
      <xdr:col>9</xdr:col>
      <xdr:colOff>501650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59.802484722219" createdVersion="6" refreshedVersion="6" minRefreshableVersion="3" recordCount="10">
  <cacheSource type="worksheet">
    <worksheetSource name="Table1"/>
  </cacheSource>
  <cacheFields count="8">
    <cacheField name="Date" numFmtId="0">
      <sharedItems containsDate="1" containsMixedTypes="1" minDate="2026-01-01T00:00:00" maxDate="2026-10-02T00:00:00" count="10">
        <s v="20/01/2026"/>
        <d v="2026-01-01T00:00:00"/>
        <d v="2026-05-02T00:00:00"/>
        <d v="2026-10-01T00:00:00"/>
        <d v="2026-01-02T00:00:00"/>
        <d v="2026-05-01T00:00:00"/>
        <d v="2026-03-01T00:00:00"/>
        <d v="2026-08-01T00:00:00"/>
        <s v="25/01/2026"/>
        <s v="15/01/2026"/>
      </sharedItems>
    </cacheField>
    <cacheField name="Customer" numFmtId="0">
      <sharedItems count="5">
        <s v="Mary"/>
        <s v="John"/>
        <s v="David"/>
        <s v="Jane"/>
        <s v="Peter"/>
      </sharedItems>
    </cacheField>
    <cacheField name="Region" numFmtId="0">
      <sharedItems count="3">
        <s v="Nairobi"/>
        <s v="Mombasa"/>
        <s v="Kisumu"/>
      </sharedItems>
    </cacheField>
    <cacheField name="Product" numFmtId="0">
      <sharedItems count="3">
        <s v="Laptop"/>
        <s v="Phon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25000" maxValue="80000"/>
    </cacheField>
    <cacheField name="Total Sales" numFmtId="0">
      <sharedItems containsSemiMixedTypes="0" containsString="0" containsNumber="1" containsInteger="1" minValue="50000" maxValue="240000"/>
    </cacheField>
    <cacheField name="Sales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n v="3"/>
    <n v="80000"/>
    <n v="240000"/>
    <s v="HIGH"/>
  </r>
  <r>
    <x v="1"/>
    <x v="1"/>
    <x v="0"/>
    <x v="0"/>
    <n v="2"/>
    <n v="80000"/>
    <n v="160000"/>
    <s v="HIGH"/>
  </r>
  <r>
    <x v="2"/>
    <x v="2"/>
    <x v="1"/>
    <x v="0"/>
    <n v="2"/>
    <n v="80000"/>
    <n v="160000"/>
    <s v="HIGH"/>
  </r>
  <r>
    <x v="3"/>
    <x v="2"/>
    <x v="0"/>
    <x v="1"/>
    <n v="5"/>
    <n v="30000"/>
    <n v="150000"/>
    <s v="HIGH"/>
  </r>
  <r>
    <x v="4"/>
    <x v="3"/>
    <x v="0"/>
    <x v="2"/>
    <n v="5"/>
    <n v="25000"/>
    <n v="125000"/>
    <s v="HIGH"/>
  </r>
  <r>
    <x v="5"/>
    <x v="4"/>
    <x v="0"/>
    <x v="2"/>
    <n v="4"/>
    <n v="25000"/>
    <n v="100000"/>
    <s v="HIGH"/>
  </r>
  <r>
    <x v="6"/>
    <x v="0"/>
    <x v="1"/>
    <x v="1"/>
    <n v="3"/>
    <n v="30000"/>
    <n v="90000"/>
    <s v="MEDIUM"/>
  </r>
  <r>
    <x v="7"/>
    <x v="3"/>
    <x v="2"/>
    <x v="0"/>
    <n v="1"/>
    <n v="80000"/>
    <n v="80000"/>
    <s v="MEDIUM"/>
  </r>
  <r>
    <x v="8"/>
    <x v="4"/>
    <x v="2"/>
    <x v="1"/>
    <n v="2"/>
    <n v="30000"/>
    <n v="60000"/>
    <s v="MEDIUM"/>
  </r>
  <r>
    <x v="9"/>
    <x v="1"/>
    <x v="1"/>
    <x v="2"/>
    <n v="2"/>
    <n v="25000"/>
    <n v="5000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5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5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:B13" firstHeaderRow="1" firstDataRow="1" firstDataCol="1"/>
  <pivotFields count="8">
    <pivotField axis="axisRow" showAll="0">
      <items count="11">
        <item x="9"/>
        <item x="0"/>
        <item x="8"/>
        <item x="1"/>
        <item x="4"/>
        <item x="6"/>
        <item x="5"/>
        <item x="2"/>
        <item x="7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7" firstHeaderRow="1" firstDataRow="1" firstDataCol="1"/>
  <pivotFields count="8"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1" totalsRowShown="0" headerRowDxfId="2" dataDxfId="3">
  <autoFilter ref="A1:H11"/>
  <sortState ref="A2:H11">
    <sortCondition descending="1" ref="G1:G11"/>
  </sortState>
  <tableColumns count="8">
    <tableColumn id="1" name="Date" dataDxfId="9"/>
    <tableColumn id="2" name="Customer" dataDxfId="8"/>
    <tableColumn id="3" name="Region" dataDxfId="7"/>
    <tableColumn id="4" name="Product" dataDxfId="6"/>
    <tableColumn id="5" name="Quantity" dataDxfId="5"/>
    <tableColumn id="6" name="Unit Price" dataDxfId="4"/>
    <tableColumn id="7" name="Total Sales" dataDxfId="1">
      <calculatedColumnFormula>E2*F2</calculatedColumnFormula>
    </tableColumn>
    <tableColumn id="8" name="Sales Category" dataDxfId="0">
      <calculatedColumnFormula>IF(G2&gt;=100000,"HIGH",IF(G2&gt;=50000,"MEDIUM","LOW"))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1" spans="1:2" x14ac:dyDescent="0.35">
      <c r="A1" s="6" t="s">
        <v>28</v>
      </c>
      <c r="B1" t="s">
        <v>30</v>
      </c>
    </row>
    <row r="2" spans="1:2" x14ac:dyDescent="0.35">
      <c r="A2" s="7" t="s">
        <v>15</v>
      </c>
      <c r="B2" s="8">
        <v>140000</v>
      </c>
    </row>
    <row r="3" spans="1:2" x14ac:dyDescent="0.35">
      <c r="A3" s="7" t="s">
        <v>10</v>
      </c>
      <c r="B3" s="8">
        <v>300000</v>
      </c>
    </row>
    <row r="4" spans="1:2" x14ac:dyDescent="0.35">
      <c r="A4" s="7" t="s">
        <v>7</v>
      </c>
      <c r="B4" s="8">
        <v>775000</v>
      </c>
    </row>
    <row r="5" spans="1:2" x14ac:dyDescent="0.35">
      <c r="A5" s="7" t="s">
        <v>29</v>
      </c>
      <c r="B5" s="8">
        <v>1215000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1" spans="1:2" x14ac:dyDescent="0.35">
      <c r="A1" s="6" t="s">
        <v>28</v>
      </c>
      <c r="B1" t="s">
        <v>30</v>
      </c>
    </row>
    <row r="2" spans="1:2" x14ac:dyDescent="0.35">
      <c r="A2" s="7" t="s">
        <v>8</v>
      </c>
      <c r="B2" s="8">
        <v>640000</v>
      </c>
    </row>
    <row r="3" spans="1:2" x14ac:dyDescent="0.35">
      <c r="A3" s="7" t="s">
        <v>11</v>
      </c>
      <c r="B3" s="8">
        <v>300000</v>
      </c>
    </row>
    <row r="4" spans="1:2" x14ac:dyDescent="0.35">
      <c r="A4" s="7" t="s">
        <v>13</v>
      </c>
      <c r="B4" s="8">
        <v>275000</v>
      </c>
    </row>
    <row r="5" spans="1:2" x14ac:dyDescent="0.35">
      <c r="A5" s="7" t="s">
        <v>29</v>
      </c>
      <c r="B5" s="8">
        <v>1215000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topLeftCell="A2" workbookViewId="0">
      <selection activeCell="A2" sqref="A2:B13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2" spans="1:2" x14ac:dyDescent="0.35">
      <c r="A2" s="6" t="s">
        <v>28</v>
      </c>
      <c r="B2" t="s">
        <v>30</v>
      </c>
    </row>
    <row r="3" spans="1:2" x14ac:dyDescent="0.35">
      <c r="A3" s="7" t="s">
        <v>17</v>
      </c>
      <c r="B3" s="8">
        <v>50000</v>
      </c>
    </row>
    <row r="4" spans="1:2" x14ac:dyDescent="0.35">
      <c r="A4" s="7" t="s">
        <v>18</v>
      </c>
      <c r="B4" s="8">
        <v>240000</v>
      </c>
    </row>
    <row r="5" spans="1:2" x14ac:dyDescent="0.35">
      <c r="A5" s="7" t="s">
        <v>19</v>
      </c>
      <c r="B5" s="8">
        <v>60000</v>
      </c>
    </row>
    <row r="6" spans="1:2" x14ac:dyDescent="0.35">
      <c r="A6" s="9">
        <v>46023</v>
      </c>
      <c r="B6" s="8">
        <v>160000</v>
      </c>
    </row>
    <row r="7" spans="1:2" x14ac:dyDescent="0.35">
      <c r="A7" s="9">
        <v>46024</v>
      </c>
      <c r="B7" s="8">
        <v>125000</v>
      </c>
    </row>
    <row r="8" spans="1:2" x14ac:dyDescent="0.35">
      <c r="A8" s="9">
        <v>46082</v>
      </c>
      <c r="B8" s="8">
        <v>90000</v>
      </c>
    </row>
    <row r="9" spans="1:2" x14ac:dyDescent="0.35">
      <c r="A9" s="9">
        <v>46143</v>
      </c>
      <c r="B9" s="8">
        <v>100000</v>
      </c>
    </row>
    <row r="10" spans="1:2" x14ac:dyDescent="0.35">
      <c r="A10" s="9">
        <v>46144</v>
      </c>
      <c r="B10" s="8">
        <v>160000</v>
      </c>
    </row>
    <row r="11" spans="1:2" x14ac:dyDescent="0.35">
      <c r="A11" s="9">
        <v>46235</v>
      </c>
      <c r="B11" s="8">
        <v>80000</v>
      </c>
    </row>
    <row r="12" spans="1:2" x14ac:dyDescent="0.35">
      <c r="A12" s="9">
        <v>46296</v>
      </c>
      <c r="B12" s="8">
        <v>150000</v>
      </c>
    </row>
    <row r="13" spans="1:2" x14ac:dyDescent="0.35">
      <c r="A13" s="7" t="s">
        <v>29</v>
      </c>
      <c r="B13" s="8">
        <v>1215000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7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1" spans="1:2" x14ac:dyDescent="0.35">
      <c r="A1" s="6" t="s">
        <v>28</v>
      </c>
      <c r="B1" t="s">
        <v>30</v>
      </c>
    </row>
    <row r="2" spans="1:2" x14ac:dyDescent="0.35">
      <c r="A2" s="7" t="s">
        <v>16</v>
      </c>
      <c r="B2" s="8">
        <v>310000</v>
      </c>
    </row>
    <row r="3" spans="1:2" x14ac:dyDescent="0.35">
      <c r="A3" s="7" t="s">
        <v>14</v>
      </c>
      <c r="B3" s="8">
        <v>205000</v>
      </c>
    </row>
    <row r="4" spans="1:2" x14ac:dyDescent="0.35">
      <c r="A4" s="7" t="s">
        <v>6</v>
      </c>
      <c r="B4" s="8">
        <v>210000</v>
      </c>
    </row>
    <row r="5" spans="1:2" x14ac:dyDescent="0.35">
      <c r="A5" s="7" t="s">
        <v>9</v>
      </c>
      <c r="B5" s="8">
        <v>330000</v>
      </c>
    </row>
    <row r="6" spans="1:2" x14ac:dyDescent="0.35">
      <c r="A6" s="7" t="s">
        <v>12</v>
      </c>
      <c r="B6" s="8">
        <v>160000</v>
      </c>
    </row>
    <row r="7" spans="1:2" x14ac:dyDescent="0.35">
      <c r="A7" s="7" t="s">
        <v>29</v>
      </c>
      <c r="B7" s="8">
        <v>1215000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E6" sqref="E6"/>
    </sheetView>
  </sheetViews>
  <sheetFormatPr defaultRowHeight="14.5" x14ac:dyDescent="0.35"/>
  <cols>
    <col min="2" max="2" width="11" customWidth="1"/>
    <col min="4" max="4" width="9.453125" customWidth="1"/>
    <col min="5" max="5" width="10.1796875" customWidth="1"/>
    <col min="6" max="6" width="10.90625" customWidth="1"/>
    <col min="7" max="7" width="8.72656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20</v>
      </c>
      <c r="H1" s="1" t="s">
        <v>27</v>
      </c>
    </row>
    <row r="2" spans="1:8" ht="29" x14ac:dyDescent="0.35">
      <c r="A2" s="5" t="s">
        <v>18</v>
      </c>
      <c r="B2" s="5" t="s">
        <v>9</v>
      </c>
      <c r="C2" s="5" t="s">
        <v>7</v>
      </c>
      <c r="D2" s="5" t="s">
        <v>8</v>
      </c>
      <c r="E2" s="2">
        <v>3</v>
      </c>
      <c r="F2" s="2">
        <v>80000</v>
      </c>
      <c r="G2" s="5">
        <f>E2*F2</f>
        <v>240000</v>
      </c>
      <c r="H2" s="5" t="str">
        <f>IF(G2&gt;=100000,"HIGH",IF(G2&gt;=50000,"MEDIUM","LOW"))</f>
        <v>HIGH</v>
      </c>
    </row>
    <row r="3" spans="1:8" x14ac:dyDescent="0.35">
      <c r="A3" s="4">
        <v>46023</v>
      </c>
      <c r="B3" s="5" t="s">
        <v>6</v>
      </c>
      <c r="C3" s="5" t="s">
        <v>7</v>
      </c>
      <c r="D3" s="5" t="s">
        <v>8</v>
      </c>
      <c r="E3" s="2">
        <v>2</v>
      </c>
      <c r="F3" s="2">
        <v>80000</v>
      </c>
      <c r="G3" s="5">
        <f>E3*F3</f>
        <v>160000</v>
      </c>
      <c r="H3" s="5" t="str">
        <f>IF(G3&gt;=100000,"HIGH",IF(G3&gt;=50000,"MEDIUM","LOW"))</f>
        <v>HIGH</v>
      </c>
    </row>
    <row r="4" spans="1:8" ht="29" x14ac:dyDescent="0.35">
      <c r="A4" s="4">
        <v>46144</v>
      </c>
      <c r="B4" s="5" t="s">
        <v>16</v>
      </c>
      <c r="C4" s="5" t="s">
        <v>10</v>
      </c>
      <c r="D4" s="5" t="s">
        <v>8</v>
      </c>
      <c r="E4" s="2">
        <v>2</v>
      </c>
      <c r="F4" s="2">
        <v>80000</v>
      </c>
      <c r="G4" s="5">
        <f>E4*F4</f>
        <v>160000</v>
      </c>
      <c r="H4" s="5" t="str">
        <f>IF(G4&gt;=100000,"HIGH",IF(G4&gt;=50000,"MEDIUM","LOW"))</f>
        <v>HIGH</v>
      </c>
    </row>
    <row r="5" spans="1:8" x14ac:dyDescent="0.35">
      <c r="A5" s="4">
        <v>46296</v>
      </c>
      <c r="B5" s="5" t="s">
        <v>16</v>
      </c>
      <c r="C5" s="5" t="s">
        <v>7</v>
      </c>
      <c r="D5" s="5" t="s">
        <v>11</v>
      </c>
      <c r="E5" s="2">
        <v>5</v>
      </c>
      <c r="F5" s="2">
        <v>30000</v>
      </c>
      <c r="G5" s="5">
        <f>E5*F5</f>
        <v>150000</v>
      </c>
      <c r="H5" s="5" t="str">
        <f>IF(G5&gt;=100000,"HIGH",IF(G5&gt;=50000,"MEDIUM","LOW"))</f>
        <v>HIGH</v>
      </c>
    </row>
    <row r="6" spans="1:8" x14ac:dyDescent="0.35">
      <c r="A6" s="4">
        <v>46024</v>
      </c>
      <c r="B6" s="5" t="s">
        <v>14</v>
      </c>
      <c r="C6" s="5" t="s">
        <v>7</v>
      </c>
      <c r="D6" s="5" t="s">
        <v>13</v>
      </c>
      <c r="E6" s="2">
        <v>5</v>
      </c>
      <c r="F6" s="2">
        <v>25000</v>
      </c>
      <c r="G6" s="5">
        <f>E6*F6</f>
        <v>125000</v>
      </c>
      <c r="H6" s="5" t="str">
        <f>IF(G6&gt;=100000,"HIGH",IF(G6&gt;=50000,"MEDIUM","LOW"))</f>
        <v>HIGH</v>
      </c>
    </row>
    <row r="7" spans="1:8" x14ac:dyDescent="0.35">
      <c r="A7" s="4">
        <v>46143</v>
      </c>
      <c r="B7" s="5" t="s">
        <v>12</v>
      </c>
      <c r="C7" s="5" t="s">
        <v>7</v>
      </c>
      <c r="D7" s="5" t="s">
        <v>13</v>
      </c>
      <c r="E7" s="2">
        <v>4</v>
      </c>
      <c r="F7" s="2">
        <v>25000</v>
      </c>
      <c r="G7" s="5">
        <f>E7*F7</f>
        <v>100000</v>
      </c>
      <c r="H7" s="5" t="str">
        <f>IF(G7&gt;=100000,"HIGH",IF(G7&gt;=50000,"MEDIUM","LOW"))</f>
        <v>HIGH</v>
      </c>
    </row>
    <row r="8" spans="1:8" ht="29" x14ac:dyDescent="0.35">
      <c r="A8" s="4">
        <v>46082</v>
      </c>
      <c r="B8" s="5" t="s">
        <v>9</v>
      </c>
      <c r="C8" s="5" t="s">
        <v>10</v>
      </c>
      <c r="D8" s="5" t="s">
        <v>11</v>
      </c>
      <c r="E8" s="2">
        <v>3</v>
      </c>
      <c r="F8" s="2">
        <v>30000</v>
      </c>
      <c r="G8" s="5">
        <f>E8*F8</f>
        <v>90000</v>
      </c>
      <c r="H8" s="5" t="str">
        <f>IF(G8&gt;=100000,"HIGH",IF(G8&gt;=50000,"MEDIUM","LOW"))</f>
        <v>MEDIUM</v>
      </c>
    </row>
    <row r="9" spans="1:8" x14ac:dyDescent="0.35">
      <c r="A9" s="4">
        <v>46235</v>
      </c>
      <c r="B9" s="5" t="s">
        <v>14</v>
      </c>
      <c r="C9" s="5" t="s">
        <v>15</v>
      </c>
      <c r="D9" s="5" t="s">
        <v>8</v>
      </c>
      <c r="E9" s="2">
        <v>1</v>
      </c>
      <c r="F9" s="2">
        <v>80000</v>
      </c>
      <c r="G9" s="5">
        <f>E9*F9</f>
        <v>80000</v>
      </c>
      <c r="H9" s="5" t="str">
        <f>IF(G9&gt;=100000,"HIGH",IF(G9&gt;=50000,"MEDIUM","LOW"))</f>
        <v>MEDIUM</v>
      </c>
    </row>
    <row r="10" spans="1:8" ht="29" x14ac:dyDescent="0.35">
      <c r="A10" s="5" t="s">
        <v>19</v>
      </c>
      <c r="B10" s="5" t="s">
        <v>12</v>
      </c>
      <c r="C10" s="5" t="s">
        <v>15</v>
      </c>
      <c r="D10" s="5" t="s">
        <v>11</v>
      </c>
      <c r="E10" s="2">
        <v>2</v>
      </c>
      <c r="F10" s="2">
        <v>30000</v>
      </c>
      <c r="G10" s="5">
        <f>E10*F10</f>
        <v>60000</v>
      </c>
      <c r="H10" s="5" t="str">
        <f>IF(G10&gt;=100000,"HIGH",IF(G10&gt;=50000,"MEDIUM","LOW"))</f>
        <v>MEDIUM</v>
      </c>
    </row>
    <row r="11" spans="1:8" ht="29" x14ac:dyDescent="0.35">
      <c r="A11" s="5" t="s">
        <v>17</v>
      </c>
      <c r="B11" s="5" t="s">
        <v>6</v>
      </c>
      <c r="C11" s="5" t="s">
        <v>10</v>
      </c>
      <c r="D11" s="5" t="s">
        <v>13</v>
      </c>
      <c r="E11" s="2">
        <v>2</v>
      </c>
      <c r="F11" s="2">
        <v>25000</v>
      </c>
      <c r="G11" s="5">
        <f>E11*F11</f>
        <v>50000</v>
      </c>
      <c r="H11" s="5" t="str">
        <f>IF(G11&gt;=100000,"HIGH",IF(G11&gt;=50000,"MEDIUM","LOW"))</f>
        <v>MEDIUM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9" sqref="C19"/>
    </sheetView>
  </sheetViews>
  <sheetFormatPr defaultRowHeight="14.5" x14ac:dyDescent="0.35"/>
  <cols>
    <col min="1" max="1" width="27.7265625" bestFit="1" customWidth="1"/>
    <col min="2" max="2" width="23" customWidth="1"/>
  </cols>
  <sheetData>
    <row r="1" spans="1:2" x14ac:dyDescent="0.35">
      <c r="A1" s="1" t="s">
        <v>21</v>
      </c>
      <c r="B1" s="3" t="s">
        <v>22</v>
      </c>
    </row>
    <row r="2" spans="1:2" ht="29" x14ac:dyDescent="0.35">
      <c r="A2" s="5" t="s">
        <v>20</v>
      </c>
      <c r="B2" s="2">
        <f>SUM(Sales_Data!G2:G11)</f>
        <v>1215000</v>
      </c>
    </row>
    <row r="3" spans="1:2" x14ac:dyDescent="0.35">
      <c r="A3" s="5" t="s">
        <v>23</v>
      </c>
      <c r="B3" s="2">
        <f>AVERAGE(Sales_Data!G2:G11)</f>
        <v>121500</v>
      </c>
    </row>
    <row r="4" spans="1:2" x14ac:dyDescent="0.35">
      <c r="A4" s="5" t="s">
        <v>24</v>
      </c>
      <c r="B4" s="2">
        <f>MAX(Sales_Data!G2:G11)</f>
        <v>240000</v>
      </c>
    </row>
    <row r="5" spans="1:2" x14ac:dyDescent="0.35">
      <c r="A5" s="5" t="s">
        <v>25</v>
      </c>
      <c r="B5" s="2">
        <f>MIN(Sales_Data!G2:G11)</f>
        <v>50000</v>
      </c>
    </row>
    <row r="6" spans="1:2" ht="29" x14ac:dyDescent="0.35">
      <c r="A6" s="5" t="s">
        <v>26</v>
      </c>
      <c r="B6" s="2">
        <f>COUNT(Sales_Data!G2:G11)</f>
        <v>10</v>
      </c>
    </row>
    <row r="7" spans="1:2" x14ac:dyDescent="0.35">
      <c r="A7" t="s">
        <v>31</v>
      </c>
      <c r="B7">
        <f>MAX(Sales_Data!G2:G11)</f>
        <v>240000</v>
      </c>
    </row>
    <row r="8" spans="1:2" x14ac:dyDescent="0.35">
      <c r="A8" t="s">
        <v>32</v>
      </c>
      <c r="B8" s="10">
        <f>COUNTIF(Sales_Data!H2:H11,"High")/COUNTA(Sales_Data!H2:H11)</f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 Pivot Table</vt:lpstr>
      <vt:lpstr>Product Pivot Table</vt:lpstr>
      <vt:lpstr>Date Pivot Table</vt:lpstr>
      <vt:lpstr>Customer Pivot Table</vt:lpstr>
      <vt:lpstr>Sales_Data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2026-08-25T15:38:50Z</dcterms:created>
  <dcterms:modified xsi:type="dcterms:W3CDTF">2026-08-25T16:58:29Z</dcterms:modified>
</cp:coreProperties>
</file>